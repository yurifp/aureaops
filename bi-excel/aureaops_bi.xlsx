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mados" sheetId="1" state="visible" r:id="rId1"/>
    <sheet name="Leads" sheetId="2" state="visible" r:id="rId2"/>
    <sheet name="Auxilio" sheetId="3" state="visible" r:id="rId3"/>
    <sheet name="KPIs" sheetId="4" state="visible" r:id="rId4"/>
    <sheet name="Tabela Dinamica" sheetId="5" state="visible" r:id="rId5"/>
    <sheet name="Grafic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2B2620"/>
      <sz val="13"/>
    </font>
    <font>
      <b val="1"/>
    </font>
    <font>
      <i val="1"/>
      <color rgb="005C5348"/>
    </font>
  </fonts>
  <fills count="3">
    <fill>
      <patternFill/>
    </fill>
    <fill>
      <patternFill patternType="gray125"/>
    </fill>
    <fill>
      <patternFill patternType="solid">
        <fgColor rgb="005C53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ont>
        <b val="1"/>
        <color rgb="00A3271F"/>
      </font>
      <fill>
        <patternFill patternType="solid">
          <fgColor rgb="00FDECEB"/>
        </patternFill>
      </fill>
    </dxf>
    <dxf>
      <font>
        <b val="1"/>
        <color rgb="001E6B34"/>
      </font>
      <fill>
        <patternFill patternType="solid">
          <fgColor rgb="00E8F5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Chamados por motivo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'Tabela Dinamica'!G3</f>
            </strRef>
          </tx>
          <spPr>
            <a:ln>
              <a:prstDash val="solid"/>
            </a:ln>
          </spPr>
          <cat>
            <numRef>
              <f>'Tabela Dinamica'!$A$4:$A$8</f>
            </numRef>
          </cat>
          <val>
            <numRef>
              <f>'Tabela Dinamica'!$G$4:$G$8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Leads por origem</a:t>
            </a:r>
          </a:p>
        </rich>
      </tx>
    </title>
    <plotArea>
      <pieChart>
        <varyColors val="1"/>
        <ser>
          <idx val="0"/>
          <order val="0"/>
          <tx>
            <strRef>
              <f>'Tabela Dinamica'!B14</f>
            </strRef>
          </tx>
          <spPr>
            <a:ln>
              <a:prstDash val="solid"/>
            </a:ln>
          </spPr>
          <cat>
            <numRef>
              <f>'Tabela Dinamica'!$A$15:$A$19</f>
            </numRef>
          </cat>
          <val>
            <numRef>
              <f>'Tabela Dinamica'!$B$15:$B$19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8" customWidth="1" min="3" max="3"/>
    <col width="15" customWidth="1" min="4" max="4"/>
    <col width="9" customWidth="1" min="5" max="5"/>
    <col width="10" customWidth="1" min="6" max="6"/>
    <col width="9" customWidth="1" min="7" max="7"/>
    <col width="18" customWidth="1" min="8" max="8"/>
    <col width="9" customWidth="1" min="9" max="9"/>
    <col width="17" customWidth="1" min="10" max="10"/>
    <col width="14" customWidth="1" min="11" max="11"/>
    <col width="11" customWidth="1" min="12" max="12"/>
  </cols>
  <sheetData>
    <row r="1">
      <c r="A1" s="1" t="inlineStr">
        <is>
          <t>protocolo</t>
        </is>
      </c>
      <c r="B1" s="1" t="inlineStr">
        <is>
          <t>aberto_em</t>
        </is>
      </c>
      <c r="C1" s="1" t="inlineStr">
        <is>
          <t>cliente</t>
        </is>
      </c>
      <c r="D1" s="1" t="inlineStr">
        <is>
          <t>numero_pedido</t>
        </is>
      </c>
      <c r="E1" s="1" t="inlineStr">
        <is>
          <t>motivo</t>
        </is>
      </c>
      <c r="F1" s="1" t="inlineStr">
        <is>
          <t>prioridade</t>
        </is>
      </c>
      <c r="G1" s="1" t="inlineStr">
        <is>
          <t>sla_horas</t>
        </is>
      </c>
      <c r="H1" s="1" t="inlineStr">
        <is>
          <t>status</t>
        </is>
      </c>
      <c r="I1" s="1" t="inlineStr">
        <is>
          <t>escalado</t>
        </is>
      </c>
      <c r="J1" s="1" t="inlineStr">
        <is>
          <t>resolvido_em</t>
        </is>
      </c>
      <c r="K1" s="1" t="inlineStr">
        <is>
          <t>horas_resolucao</t>
        </is>
      </c>
      <c r="L1" s="1" t="inlineStr">
        <is>
          <t>cumpriu_sla</t>
        </is>
      </c>
    </row>
    <row r="2"/>
    <row r="3">
      <c r="A3" t="inlineStr">
        <is>
          <t>SAC-20261001-0009</t>
        </is>
      </c>
      <c r="B3" t="inlineStr">
        <is>
          <t>2026-10-01 09:00:00</t>
        </is>
      </c>
      <c r="C3" t="inlineStr">
        <is>
          <t>Mariana Duarte</t>
        </is>
      </c>
      <c r="D3" t="inlineStr">
        <is>
          <t>PED-2026-1009</t>
        </is>
      </c>
      <c r="E3" t="inlineStr">
        <is>
          <t>atraso</t>
        </is>
      </c>
      <c r="F3" t="inlineStr">
        <is>
          <t>media</t>
        </is>
      </c>
      <c r="G3" t="n">
        <v>24</v>
      </c>
      <c r="H3" t="inlineStr">
        <is>
          <t>resolvido</t>
        </is>
      </c>
      <c r="I3" t="n">
        <v>0</v>
      </c>
      <c r="J3" t="inlineStr">
        <is>
          <t>2026-10-02 15:00:00</t>
        </is>
      </c>
      <c r="K3" t="n">
        <v>30</v>
      </c>
      <c r="L3" t="n">
        <v>0</v>
      </c>
    </row>
    <row r="4">
      <c r="A4" t="inlineStr">
        <is>
          <t>SAC-20261005-0003</t>
        </is>
      </c>
      <c r="B4" t="inlineStr">
        <is>
          <t>2026-10-05 10:00:00</t>
        </is>
      </c>
      <c r="C4" t="inlineStr">
        <is>
          <t>Beatriz Alves</t>
        </is>
      </c>
      <c r="D4" t="inlineStr">
        <is>
          <t>PED-2026-1003</t>
        </is>
      </c>
      <c r="E4" t="inlineStr">
        <is>
          <t>troca</t>
        </is>
      </c>
      <c r="F4" t="inlineStr">
        <is>
          <t>media</t>
        </is>
      </c>
      <c r="G4" t="n">
        <v>24</v>
      </c>
      <c r="H4" t="inlineStr">
        <is>
          <t>resolvido</t>
        </is>
      </c>
      <c r="I4" t="n">
        <v>0</v>
      </c>
      <c r="J4" t="inlineStr">
        <is>
          <t>2026-10-05 20:00:00</t>
        </is>
      </c>
      <c r="K4" t="n">
        <v>10</v>
      </c>
      <c r="L4" t="n">
        <v>1</v>
      </c>
    </row>
    <row r="5">
      <c r="A5" t="inlineStr">
        <is>
          <t>SAC-20261008-0002</t>
        </is>
      </c>
      <c r="B5" t="inlineStr">
        <is>
          <t>2026-10-08 14:00:00</t>
        </is>
      </c>
      <c r="C5" t="inlineStr">
        <is>
          <t>Rafael Nunes</t>
        </is>
      </c>
      <c r="D5" t="inlineStr">
        <is>
          <t>PED-2026-1002</t>
        </is>
      </c>
      <c r="E5" t="inlineStr">
        <is>
          <t>defeito</t>
        </is>
      </c>
      <c r="F5" t="inlineStr">
        <is>
          <t>alta</t>
        </is>
      </c>
      <c r="G5" t="n">
        <v>4</v>
      </c>
      <c r="H5" t="inlineStr">
        <is>
          <t>resolvido</t>
        </is>
      </c>
      <c r="I5" t="n">
        <v>1</v>
      </c>
      <c r="J5" t="inlineStr">
        <is>
          <t>2026-10-08 20:00:00</t>
        </is>
      </c>
      <c r="K5" t="n">
        <v>6</v>
      </c>
      <c r="L5" t="n">
        <v>0</v>
      </c>
    </row>
    <row r="6">
      <c r="A6" t="inlineStr">
        <is>
          <t>SAC-20261010-0001</t>
        </is>
      </c>
      <c r="B6" t="inlineStr">
        <is>
          <t>2026-10-10 09:00:00</t>
        </is>
      </c>
      <c r="C6" t="inlineStr">
        <is>
          <t>Mariana Duarte</t>
        </is>
      </c>
      <c r="D6" t="inlineStr">
        <is>
          <t>PED-2026-1001</t>
        </is>
      </c>
      <c r="E6" t="inlineStr">
        <is>
          <t>defeito</t>
        </is>
      </c>
      <c r="F6" t="inlineStr">
        <is>
          <t>alta</t>
        </is>
      </c>
      <c r="G6" t="n">
        <v>4</v>
      </c>
      <c r="H6" t="inlineStr">
        <is>
          <t>resolvido</t>
        </is>
      </c>
      <c r="I6" t="n">
        <v>0</v>
      </c>
      <c r="J6" t="inlineStr">
        <is>
          <t>2026-10-10 11:00:00</t>
        </is>
      </c>
      <c r="K6" t="n">
        <v>2</v>
      </c>
      <c r="L6" t="n">
        <v>1</v>
      </c>
    </row>
    <row r="7">
      <c r="A7" t="inlineStr">
        <is>
          <t>SAC-20261011-0005</t>
        </is>
      </c>
      <c r="B7" t="inlineStr">
        <is>
          <t>2026-10-11 08:00:00</t>
        </is>
      </c>
      <c r="C7" t="inlineStr">
        <is>
          <t>Fernanda Lopes</t>
        </is>
      </c>
      <c r="D7" t="inlineStr">
        <is>
          <t>PED-2026-1005</t>
        </is>
      </c>
      <c r="E7" t="inlineStr">
        <is>
          <t>duvida</t>
        </is>
      </c>
      <c r="F7" t="inlineStr">
        <is>
          <t>baixa</t>
        </is>
      </c>
      <c r="G7" t="n">
        <v>72</v>
      </c>
      <c r="H7" t="inlineStr">
        <is>
          <t>resolvido</t>
        </is>
      </c>
      <c r="I7" t="n">
        <v>0</v>
      </c>
      <c r="J7" t="inlineStr">
        <is>
          <t>2026-10-12 14:00:00</t>
        </is>
      </c>
      <c r="K7" t="n">
        <v>30</v>
      </c>
      <c r="L7" t="n">
        <v>1</v>
      </c>
    </row>
    <row r="8">
      <c r="A8" t="inlineStr">
        <is>
          <t>SAC-20261014-0010</t>
        </is>
      </c>
      <c r="B8" t="inlineStr">
        <is>
          <t>2026-10-14 12:00:00</t>
        </is>
      </c>
      <c r="C8" t="inlineStr">
        <is>
          <t>Beatriz Alves</t>
        </is>
      </c>
      <c r="D8" t="inlineStr">
        <is>
          <t>PED-2026-1010</t>
        </is>
      </c>
      <c r="E8" t="inlineStr">
        <is>
          <t>defeito</t>
        </is>
      </c>
      <c r="F8" t="inlineStr">
        <is>
          <t>alta</t>
        </is>
      </c>
      <c r="G8" t="n">
        <v>4</v>
      </c>
      <c r="H8" t="inlineStr">
        <is>
          <t>cancelado</t>
        </is>
      </c>
      <c r="I8" t="n">
        <v>0</v>
      </c>
      <c r="L8" t="n">
        <v>0</v>
      </c>
    </row>
    <row r="9">
      <c r="A9" t="inlineStr">
        <is>
          <t>SAC-20261016-0008</t>
        </is>
      </c>
      <c r="B9" t="inlineStr">
        <is>
          <t>2026-10-16 07:00:00</t>
        </is>
      </c>
      <c r="C9" t="inlineStr">
        <is>
          <t>Thiago Barbosa</t>
        </is>
      </c>
      <c r="D9" t="inlineStr">
        <is>
          <t>PED-2026-1008</t>
        </is>
      </c>
      <c r="E9" t="inlineStr">
        <is>
          <t>duvida</t>
        </is>
      </c>
      <c r="F9" t="inlineStr">
        <is>
          <t>baixa</t>
        </is>
      </c>
      <c r="G9" t="n">
        <v>72</v>
      </c>
      <c r="H9" t="inlineStr">
        <is>
          <t>em_atendimento</t>
        </is>
      </c>
      <c r="I9" t="n">
        <v>1</v>
      </c>
      <c r="L9" t="n">
        <v>0</v>
      </c>
    </row>
    <row r="10">
      <c r="A10" t="inlineStr">
        <is>
          <t>SAC-20261019-0004</t>
        </is>
      </c>
      <c r="B10" t="inlineStr">
        <is>
          <t>2026-10-19 02:00:00</t>
        </is>
      </c>
      <c r="C10" t="inlineStr">
        <is>
          <t>Carlos Menezes</t>
        </is>
      </c>
      <c r="D10" t="inlineStr">
        <is>
          <t>PED-2026-1004</t>
        </is>
      </c>
      <c r="E10" t="inlineStr">
        <is>
          <t>atraso</t>
        </is>
      </c>
      <c r="F10" t="inlineStr">
        <is>
          <t>media</t>
        </is>
      </c>
      <c r="G10" t="n">
        <v>24</v>
      </c>
      <c r="H10" t="inlineStr">
        <is>
          <t>em_atendimento</t>
        </is>
      </c>
      <c r="I10" t="n">
        <v>1</v>
      </c>
      <c r="L10" t="n">
        <v>0</v>
      </c>
    </row>
    <row r="11">
      <c r="A11" t="inlineStr">
        <is>
          <t>SAC-20261019-0006</t>
        </is>
      </c>
      <c r="B11" t="inlineStr">
        <is>
          <t>2026-10-19 20:00:00</t>
        </is>
      </c>
      <c r="C11" t="inlineStr">
        <is>
          <t>Gustavo Pereira</t>
        </is>
      </c>
      <c r="D11" t="inlineStr">
        <is>
          <t>PED-2026-1006</t>
        </is>
      </c>
      <c r="E11" t="inlineStr">
        <is>
          <t>troca</t>
        </is>
      </c>
      <c r="F11" t="inlineStr">
        <is>
          <t>media</t>
        </is>
      </c>
      <c r="G11" t="n">
        <v>24</v>
      </c>
      <c r="H11" t="inlineStr">
        <is>
          <t>aguardando_cliente</t>
        </is>
      </c>
      <c r="I11" t="n">
        <v>0</v>
      </c>
      <c r="L11" t="n">
        <v>0</v>
      </c>
    </row>
    <row r="12">
      <c r="A12" t="inlineStr">
        <is>
          <t>SAC-20261020-0007</t>
        </is>
      </c>
      <c r="B12" t="inlineStr">
        <is>
          <t>2026-10-20 08:30:00</t>
        </is>
      </c>
      <c r="C12" t="inlineStr">
        <is>
          <t>Heloisa Martins</t>
        </is>
      </c>
      <c r="D12" t="inlineStr">
        <is>
          <t>PED-2026-1007</t>
        </is>
      </c>
      <c r="E12" t="inlineStr">
        <is>
          <t>defeito</t>
        </is>
      </c>
      <c r="F12" t="inlineStr">
        <is>
          <t>alta</t>
        </is>
      </c>
      <c r="G12" t="n">
        <v>4</v>
      </c>
      <c r="H12" t="inlineStr">
        <is>
          <t>aberto</t>
        </is>
      </c>
      <c r="I12" t="n">
        <v>0</v>
      </c>
      <c r="L12" t="n">
        <v>0</v>
      </c>
    </row>
  </sheetData>
  <conditionalFormatting sqref="I2:I11">
    <cfRule type="cellIs" priority="1" operator="equal" dxfId="0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14" customWidth="1" min="4" max="4"/>
    <col width="14" customWidth="1" min="5" max="5"/>
    <col width="19" customWidth="1" min="6" max="6"/>
    <col width="17" customWidth="1" min="7" max="7"/>
    <col width="17" customWidth="1" min="8" max="8"/>
    <col width="11" customWidth="1" min="9" max="9"/>
  </cols>
  <sheetData>
    <row r="1">
      <c r="A1" s="1" t="inlineStr">
        <is>
          <t>protocolo</t>
        </is>
      </c>
      <c r="B1" s="1" t="inlineStr">
        <is>
          <t>created_at</t>
        </is>
      </c>
      <c r="C1" s="1" t="inlineStr">
        <is>
          <t>origem</t>
        </is>
      </c>
      <c r="D1" s="1" t="inlineStr">
        <is>
          <t>status</t>
        </is>
      </c>
      <c r="E1" s="1" t="inlineStr">
        <is>
          <t>vendedor</t>
        </is>
      </c>
      <c r="F1" s="1" t="inlineStr">
        <is>
          <t>primeiro_contato_em</t>
        </is>
      </c>
      <c r="G1" s="1" t="inlineStr">
        <is>
          <t>convertido_em</t>
        </is>
      </c>
      <c r="H1" s="1" t="inlineStr">
        <is>
          <t>horas_ate_contato</t>
        </is>
      </c>
      <c r="I1" s="1" t="inlineStr">
        <is>
          <t>convertido</t>
        </is>
      </c>
    </row>
    <row r="2"/>
    <row r="3">
      <c r="A3" t="inlineStr">
        <is>
          <t>LED-1</t>
        </is>
      </c>
      <c r="B3" t="inlineStr">
        <is>
          <t>2026-10-05 09:04:55</t>
        </is>
      </c>
      <c r="C3" t="inlineStr">
        <is>
          <t>instagram</t>
        </is>
      </c>
      <c r="D3" t="inlineStr">
        <is>
          <t>convertido</t>
        </is>
      </c>
      <c r="E3" t="inlineStr">
        <is>
          <t>Ana Souza</t>
        </is>
      </c>
      <c r="F3" t="inlineStr">
        <is>
          <t>2026-10-05 10:30:00</t>
        </is>
      </c>
      <c r="G3" t="inlineStr">
        <is>
          <t>2026-10-06 15:00:00</t>
        </is>
      </c>
      <c r="H3" t="n">
        <v>1.4</v>
      </c>
      <c r="I3" t="n">
        <v>1</v>
      </c>
    </row>
    <row r="4">
      <c r="A4" t="inlineStr">
        <is>
          <t>LED-2</t>
        </is>
      </c>
      <c r="B4" t="inlineStr">
        <is>
          <t>2026-10-05 11:09:58</t>
        </is>
      </c>
      <c r="C4" t="inlineStr">
        <is>
          <t>google</t>
        </is>
      </c>
      <c r="D4" t="inlineStr">
        <is>
          <t>convertido</t>
        </is>
      </c>
      <c r="E4" t="inlineStr">
        <is>
          <t>Bruno Lima</t>
        </is>
      </c>
      <c r="F4" t="inlineStr">
        <is>
          <t>2026-10-05 14:00:00</t>
        </is>
      </c>
      <c r="G4" t="inlineStr">
        <is>
          <t>2026-10-07 09:30:00</t>
        </is>
      </c>
      <c r="H4" t="n">
        <v>2.9</v>
      </c>
      <c r="I4" t="n">
        <v>1</v>
      </c>
    </row>
    <row r="5">
      <c r="A5" t="inlineStr">
        <is>
          <t>LED-3</t>
        </is>
      </c>
      <c r="B5" t="inlineStr">
        <is>
          <t>2026-10-06 10:19:50</t>
        </is>
      </c>
      <c r="C5" t="inlineStr">
        <is>
          <t>instagram</t>
        </is>
      </c>
      <c r="D5" t="inlineStr">
        <is>
          <t>contatado</t>
        </is>
      </c>
      <c r="E5" t="inlineStr">
        <is>
          <t>Carla Dias</t>
        </is>
      </c>
      <c r="F5" t="inlineStr">
        <is>
          <t>2026-10-06 11:00:00</t>
        </is>
      </c>
      <c r="H5" t="n">
        <v>0.7</v>
      </c>
      <c r="I5" t="n">
        <v>0</v>
      </c>
    </row>
    <row r="6">
      <c r="A6" t="inlineStr">
        <is>
          <t>LED-4</t>
        </is>
      </c>
      <c r="B6" t="inlineStr">
        <is>
          <t>2026-10-06 15:35:10</t>
        </is>
      </c>
      <c r="C6" t="inlineStr">
        <is>
          <t>google</t>
        </is>
      </c>
      <c r="D6" t="inlineStr">
        <is>
          <t>perdido</t>
        </is>
      </c>
      <c r="E6" t="inlineStr">
        <is>
          <t>Diego Alves</t>
        </is>
      </c>
      <c r="F6" t="inlineStr">
        <is>
          <t>2026-10-07 09:00:00</t>
        </is>
      </c>
      <c r="H6" t="n">
        <v>17.4</v>
      </c>
      <c r="I6" t="n">
        <v>0</v>
      </c>
    </row>
    <row r="7">
      <c r="A7" t="inlineStr">
        <is>
          <t>LED-5</t>
        </is>
      </c>
      <c r="B7" t="inlineStr">
        <is>
          <t>2026-10-08 08:44:59</t>
        </is>
      </c>
      <c r="C7" t="inlineStr">
        <is>
          <t>newsletter</t>
        </is>
      </c>
      <c r="D7" t="inlineStr">
        <is>
          <t>contatado</t>
        </is>
      </c>
      <c r="E7" t="inlineStr">
        <is>
          <t>Ana Souza</t>
        </is>
      </c>
      <c r="F7" t="inlineStr">
        <is>
          <t>2026-10-08 09:10:00</t>
        </is>
      </c>
      <c r="H7" t="n">
        <v>0.4</v>
      </c>
      <c r="I7" t="n">
        <v>0</v>
      </c>
    </row>
    <row r="8">
      <c r="A8" t="inlineStr">
        <is>
          <t>LED-6</t>
        </is>
      </c>
      <c r="B8" t="inlineStr">
        <is>
          <t>2026-10-09 13:59:57</t>
        </is>
      </c>
      <c r="C8" t="inlineStr">
        <is>
          <t>newsletter</t>
        </is>
      </c>
      <c r="D8" t="inlineStr">
        <is>
          <t>nao_respondeu</t>
        </is>
      </c>
      <c r="E8" t="inlineStr">
        <is>
          <t>Bruno Lima</t>
        </is>
      </c>
      <c r="F8" t="inlineStr">
        <is>
          <t>2026-10-12 10:00:00</t>
        </is>
      </c>
      <c r="H8" t="n">
        <v>68</v>
      </c>
      <c r="I8" t="n">
        <v>0</v>
      </c>
    </row>
    <row r="9">
      <c r="A9" t="inlineStr">
        <is>
          <t>LED-7</t>
        </is>
      </c>
      <c r="B9" t="inlineStr">
        <is>
          <t>2026-10-10 09:30:03</t>
        </is>
      </c>
      <c r="C9" t="inlineStr">
        <is>
          <t>indicacao</t>
        </is>
      </c>
      <c r="D9" t="inlineStr">
        <is>
          <t>convertido</t>
        </is>
      </c>
      <c r="E9" t="inlineStr">
        <is>
          <t>Carla Dias</t>
        </is>
      </c>
      <c r="F9" t="inlineStr">
        <is>
          <t>2026-10-10 10:15:00</t>
        </is>
      </c>
      <c r="G9" t="inlineStr">
        <is>
          <t>2026-10-11 16:20:00</t>
        </is>
      </c>
      <c r="H9" t="n">
        <v>0.8</v>
      </c>
      <c r="I9" t="n">
        <v>1</v>
      </c>
    </row>
    <row r="10">
      <c r="A10" t="inlineStr">
        <is>
          <t>LED-8</t>
        </is>
      </c>
      <c r="B10" t="inlineStr">
        <is>
          <t>2026-10-11 16:50:01</t>
        </is>
      </c>
      <c r="C10" t="inlineStr">
        <is>
          <t>google</t>
        </is>
      </c>
      <c r="D10" t="inlineStr">
        <is>
          <t>perdido</t>
        </is>
      </c>
      <c r="E10" t="inlineStr">
        <is>
          <t>Diego Alves</t>
        </is>
      </c>
      <c r="F10" t="inlineStr">
        <is>
          <t>2026-10-12 09:00:00</t>
        </is>
      </c>
      <c r="H10" t="n">
        <v>16.2</v>
      </c>
      <c r="I10" t="n">
        <v>0</v>
      </c>
    </row>
    <row r="11">
      <c r="A11" t="inlineStr">
        <is>
          <t>LED-9</t>
        </is>
      </c>
      <c r="B11" t="inlineStr">
        <is>
          <t>2026-10-13 10:09:49</t>
        </is>
      </c>
      <c r="C11" t="inlineStr">
        <is>
          <t>instagram</t>
        </is>
      </c>
      <c r="D11" t="inlineStr">
        <is>
          <t>contatado</t>
        </is>
      </c>
      <c r="E11" t="inlineStr">
        <is>
          <t>Ana Souza</t>
        </is>
      </c>
      <c r="F11" t="inlineStr">
        <is>
          <t>2026-10-13 10:40:00</t>
        </is>
      </c>
      <c r="H11" t="n">
        <v>0.5</v>
      </c>
      <c r="I11" t="n">
        <v>0</v>
      </c>
    </row>
    <row r="12">
      <c r="A12" t="inlineStr">
        <is>
          <t>LED-10</t>
        </is>
      </c>
      <c r="B12" t="inlineStr">
        <is>
          <t>2026-10-14 09:19:52</t>
        </is>
      </c>
      <c r="C12" t="inlineStr">
        <is>
          <t>google</t>
        </is>
      </c>
      <c r="D12" t="inlineStr">
        <is>
          <t>nao_respondeu</t>
        </is>
      </c>
      <c r="E12" t="inlineStr">
        <is>
          <t>Bruno Lima</t>
        </is>
      </c>
      <c r="F12" t="inlineStr">
        <is>
          <t>2026-10-17 11:00:00</t>
        </is>
      </c>
      <c r="H12" t="n">
        <v>73.7</v>
      </c>
      <c r="I12" t="n">
        <v>0</v>
      </c>
    </row>
    <row r="13">
      <c r="A13" t="inlineStr">
        <is>
          <t>LED-11</t>
        </is>
      </c>
      <c r="B13" t="inlineStr">
        <is>
          <t>2026-10-15 12:59:58</t>
        </is>
      </c>
      <c r="C13" t="inlineStr">
        <is>
          <t>instagram</t>
        </is>
      </c>
      <c r="D13" t="inlineStr">
        <is>
          <t>convertido</t>
        </is>
      </c>
      <c r="E13" t="inlineStr">
        <is>
          <t>Carla Dias</t>
        </is>
      </c>
      <c r="F13" t="inlineStr">
        <is>
          <t>2026-10-15 13:30:00</t>
        </is>
      </c>
      <c r="G13" t="inlineStr">
        <is>
          <t>2026-10-16 10:00:00</t>
        </is>
      </c>
      <c r="H13" t="n">
        <v>0.5</v>
      </c>
      <c r="I13" t="n">
        <v>1</v>
      </c>
    </row>
    <row r="14">
      <c r="A14" t="inlineStr">
        <is>
          <t>LED-12</t>
        </is>
      </c>
      <c r="B14" t="inlineStr">
        <is>
          <t>2026-10-16 17:40:07</t>
        </is>
      </c>
      <c r="C14" t="inlineStr">
        <is>
          <t>newsletter</t>
        </is>
      </c>
      <c r="D14" t="inlineStr">
        <is>
          <t>nao_respondeu</t>
        </is>
      </c>
      <c r="E14" t="inlineStr">
        <is>
          <t>Diego Alves</t>
        </is>
      </c>
      <c r="F14" t="inlineStr">
        <is>
          <t>2026-10-19 09:00:00</t>
        </is>
      </c>
      <c r="H14" t="n">
        <v>63.3</v>
      </c>
      <c r="I14" t="n">
        <v>0</v>
      </c>
    </row>
    <row r="15">
      <c r="A15" t="inlineStr">
        <is>
          <t>LED-13</t>
        </is>
      </c>
      <c r="B15" t="inlineStr">
        <is>
          <t>2026-10-18 09:14:51</t>
        </is>
      </c>
      <c r="C15" t="inlineStr">
        <is>
          <t>google</t>
        </is>
      </c>
      <c r="D15" t="inlineStr">
        <is>
          <t>contatado</t>
        </is>
      </c>
      <c r="E15" t="inlineStr">
        <is>
          <t>Ana Souza</t>
        </is>
      </c>
      <c r="F15" t="inlineStr">
        <is>
          <t>2026-10-18 09:45:00</t>
        </is>
      </c>
      <c r="H15" t="n">
        <v>0.5</v>
      </c>
      <c r="I15" t="n">
        <v>0</v>
      </c>
    </row>
    <row r="16">
      <c r="A16" t="inlineStr">
        <is>
          <t>LED-14</t>
        </is>
      </c>
      <c r="B16" t="inlineStr">
        <is>
          <t>2026-10-18 18:04:56</t>
        </is>
      </c>
      <c r="C16" t="inlineStr">
        <is>
          <t>instagram</t>
        </is>
      </c>
      <c r="D16" t="inlineStr">
        <is>
          <t>distribuido</t>
        </is>
      </c>
      <c r="E16" t="inlineStr">
        <is>
          <t>Bruno Lima</t>
        </is>
      </c>
      <c r="I16" t="n">
        <v>0</v>
      </c>
    </row>
    <row r="17">
      <c r="A17" t="inlineStr">
        <is>
          <t>LED-15</t>
        </is>
      </c>
      <c r="B17" t="inlineStr">
        <is>
          <t>2026-10-19 08:29:54</t>
        </is>
      </c>
      <c r="C17" t="inlineStr">
        <is>
          <t>newsletter</t>
        </is>
      </c>
      <c r="D17" t="inlineStr">
        <is>
          <t>distribuido</t>
        </is>
      </c>
      <c r="E17" t="inlineStr">
        <is>
          <t>Carla Dias</t>
        </is>
      </c>
      <c r="I17" t="n">
        <v>0</v>
      </c>
    </row>
    <row r="18">
      <c r="A18" t="inlineStr">
        <is>
          <t>LED-16</t>
        </is>
      </c>
      <c r="B18" t="inlineStr">
        <is>
          <t>2026-10-20 07:50:02</t>
        </is>
      </c>
      <c r="C18" t="inlineStr">
        <is>
          <t>indicacao</t>
        </is>
      </c>
      <c r="D18" t="inlineStr">
        <is>
          <t>novo</t>
        </is>
      </c>
      <c r="E18" t="inlineStr"/>
      <c r="I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Motivo → prioridade/SLA (base do XLOOKUP em KPIs)</t>
        </is>
      </c>
    </row>
    <row r="3">
      <c r="A3" s="1" t="inlineStr">
        <is>
          <t>motivo</t>
        </is>
      </c>
      <c r="B3" s="1" t="inlineStr">
        <is>
          <t>prioridade</t>
        </is>
      </c>
      <c r="C3" s="1" t="inlineStr">
        <is>
          <t>sla_horas</t>
        </is>
      </c>
    </row>
    <row r="4"/>
    <row r="5">
      <c r="A5" t="inlineStr">
        <is>
          <t>troca</t>
        </is>
      </c>
      <c r="B5" t="inlineStr">
        <is>
          <t>media</t>
        </is>
      </c>
      <c r="C5" t="n">
        <v>24</v>
      </c>
    </row>
    <row r="6">
      <c r="A6" t="inlineStr">
        <is>
          <t>atraso</t>
        </is>
      </c>
      <c r="B6" t="inlineStr">
        <is>
          <t>media</t>
        </is>
      </c>
      <c r="C6" t="n">
        <v>24</v>
      </c>
    </row>
    <row r="7">
      <c r="A7" t="inlineStr">
        <is>
          <t>defeito</t>
        </is>
      </c>
      <c r="B7" t="inlineStr">
        <is>
          <t>alta</t>
        </is>
      </c>
      <c r="C7" t="n">
        <v>4</v>
      </c>
    </row>
    <row r="8">
      <c r="A8" t="inlineStr">
        <is>
          <t>duvida</t>
        </is>
      </c>
      <c r="B8" t="inlineStr">
        <is>
          <t>baixa</t>
        </is>
      </c>
      <c r="C8" t="n">
        <v>72</v>
      </c>
    </row>
    <row r="11">
      <c r="A11" s="3" t="inlineStr">
        <is>
          <t>Teste de validação (dropdown):</t>
        </is>
      </c>
    </row>
  </sheetData>
  <dataValidations count="1">
    <dataValidation sqref="A12" showDropDown="0" showInputMessage="0" showErrorMessage="0" allowBlank="0" error="Escolha um motivo da lista." prompt="Motivo válido do domínio do sistema." type="list">
      <formula1>"troca,atraso,defeito,duvida"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44" customWidth="1" min="3" max="3"/>
  </cols>
  <sheetData>
    <row r="1">
      <c r="A1" s="2" t="inlineStr">
        <is>
          <t>KPIs AureaOps (calculados por fórmulas — nenhum valor é 'colado')</t>
        </is>
      </c>
    </row>
    <row r="3">
      <c r="A3" s="1" t="inlineStr">
        <is>
          <t>Indicador</t>
        </is>
      </c>
      <c r="B3" s="1" t="inlineStr">
        <is>
          <t>Valor</t>
        </is>
      </c>
      <c r="C3" s="1" t="inlineStr">
        <is>
          <t>Como se calcula</t>
        </is>
      </c>
    </row>
    <row r="4">
      <c r="A4" t="inlineStr">
        <is>
          <t>Chamados — total</t>
        </is>
      </c>
      <c r="B4" s="4">
        <f>COUNTA(Chamados!A2:A11)</f>
        <v/>
      </c>
      <c r="C4" t="inlineStr">
        <is>
          <t>CONT.VALORES na coluna de protocolos</t>
        </is>
      </c>
    </row>
    <row r="5">
      <c r="A5" t="inlineStr">
        <is>
          <t>Chamados — resolvidos</t>
        </is>
      </c>
      <c r="B5" s="4">
        <f>COUNTIF(Chamados!H2:H11,"resolvido")</f>
        <v/>
      </c>
      <c r="C5" t="inlineStr">
        <is>
          <t>CONT.SES por status</t>
        </is>
      </c>
    </row>
    <row r="6">
      <c r="A6" t="inlineStr">
        <is>
          <t>Chamados — em aberto (não finalizados)</t>
        </is>
      </c>
      <c r="B6" s="4">
        <f>COUNTA(Chamados!A2:A11)-COUNTIF(Chamados!H2:H11,"resolvido")-COUNTIF(Chamados!H2:H11,"cancelado")</f>
        <v/>
      </c>
      <c r="C6" t="inlineStr">
        <is>
          <t>total − resolvidos − cancelados</t>
        </is>
      </c>
    </row>
    <row r="7">
      <c r="A7" t="inlineStr">
        <is>
          <t>SLA — % cumprido (entre resolvidos)</t>
        </is>
      </c>
      <c r="B7" s="5">
        <f>IFERROR(COUNTIFS(Chamados!H2:H11,"resolvido",Chamados!L2:L11,1)/COUNTIF(Chamados!H2:H11,"resolvido"),"")</f>
        <v/>
      </c>
      <c r="C7" t="inlineStr">
        <is>
          <t>CONT.SES(resolvido E cumpriu_sla=1)/CONT.SE(resolvido)</t>
        </is>
      </c>
    </row>
    <row r="8">
      <c r="A8" t="inlineStr">
        <is>
          <t>SLA — tempo médio de resolução (h)</t>
        </is>
      </c>
      <c r="B8" s="6">
        <f>IFERROR(AVERAGE(Chamados!K2:K11),"")</f>
        <v/>
      </c>
      <c r="C8" t="inlineStr">
        <is>
          <t>MÉDIA das horas de resolução</t>
        </is>
      </c>
    </row>
    <row r="9">
      <c r="A9" t="inlineStr">
        <is>
          <t>SLA — chamados escalonados</t>
        </is>
      </c>
      <c r="B9" s="4">
        <f>SUM(Chamados!I2:I11)</f>
        <v/>
      </c>
      <c r="C9" t="inlineStr">
        <is>
          <t>SOMA da coluna escalado</t>
        </is>
      </c>
    </row>
    <row r="10">
      <c r="A10" t="inlineStr">
        <is>
          <t>Leads — total</t>
        </is>
      </c>
      <c r="B10" s="4">
        <f>COUNTA(Leads!A2:A17)</f>
        <v/>
      </c>
      <c r="C10" t="inlineStr">
        <is>
          <t>CONT.VALORES dos protocolos</t>
        </is>
      </c>
    </row>
    <row r="11">
      <c r="A11" t="inlineStr">
        <is>
          <t>Leads — convertidos</t>
        </is>
      </c>
      <c r="B11" s="4">
        <f>COUNTIF(Leads!D2:D17,"convertido")</f>
        <v/>
      </c>
      <c r="C11" t="inlineStr">
        <is>
          <t>CONT.SES status=convertido</t>
        </is>
      </c>
    </row>
    <row r="12">
      <c r="A12" t="inlineStr">
        <is>
          <t>Leads — taxa de conversão</t>
        </is>
      </c>
      <c r="B12" s="5">
        <f>IFERROR(B11/B10,"")</f>
        <v/>
      </c>
      <c r="C12" t="inlineStr">
        <is>
          <t>convertidos / total</t>
        </is>
      </c>
    </row>
    <row r="13">
      <c r="A13" t="inlineStr">
        <is>
          <t>Leads — sem primeiro contato</t>
        </is>
      </c>
      <c r="B13" s="4">
        <f>COUNTIF(Leads!D2:D17,"distribuido")</f>
        <v/>
      </c>
      <c r="C13" t="inlineStr">
        <is>
          <t>CONT.SES status=distribuido</t>
        </is>
      </c>
    </row>
    <row r="14">
      <c r="A14" t="inlineStr">
        <is>
          <t>Leads — tempo médio até 1º contato (h)</t>
        </is>
      </c>
      <c r="B14" s="6">
        <f>IFERROR(AVERAGE(Leads!H2:H17),"")</f>
        <v/>
      </c>
      <c r="C14" t="inlineStr">
        <is>
          <t>MÉDIA das horas até primeiro contato</t>
        </is>
      </c>
    </row>
    <row r="15">
      <c r="A15" t="inlineStr">
        <is>
          <t>XLOOKUP — SLA do motivo selecionado em Auxilio!A12</t>
        </is>
      </c>
      <c r="B15" s="4">
        <f>IFERROR(XLOOKUP(Auxilio!A12,Auxilio!A4:A7,Auxilio!C4:C7),"—")</f>
        <v/>
      </c>
      <c r="C15" t="inlineStr">
        <is>
          <t>PROCV moderno: busca sla_horas do motivo escolhido no dropdown</t>
        </is>
      </c>
    </row>
  </sheetData>
  <conditionalFormatting sqref="B7">
    <cfRule type="cellIs" priority="1" operator="lessThan" dxfId="0">
      <formula>0.9</formula>
    </cfRule>
    <cfRule type="cellIs" priority="2" operator="greaterThanOrEqual" dxfId="1">
      <formula>0.9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Chamados por motivo × status (CONT.SES — matriz estilo tabela dinâmica)</t>
        </is>
      </c>
    </row>
    <row r="3">
      <c r="A3" s="3" t="inlineStr">
        <is>
          <t>motivo \ status</t>
        </is>
      </c>
      <c r="B3" s="3" t="inlineStr">
        <is>
          <t>aberto</t>
        </is>
      </c>
      <c r="C3" s="3" t="inlineStr">
        <is>
          <t>em_atendimento</t>
        </is>
      </c>
      <c r="D3" s="3" t="inlineStr">
        <is>
          <t>aguardando_cliente</t>
        </is>
      </c>
      <c r="E3" s="3" t="inlineStr">
        <is>
          <t>resolvido</t>
        </is>
      </c>
      <c r="F3" s="3" t="inlineStr">
        <is>
          <t>cancelado</t>
        </is>
      </c>
    </row>
    <row r="4">
      <c r="A4" t="inlineStr">
        <is>
          <t>troca</t>
        </is>
      </c>
      <c r="B4">
        <f>COUNTIFS(Chamados!E2:E11,$A4,Chamados!H2:H11,B$3)</f>
        <v/>
      </c>
      <c r="C4">
        <f>COUNTIFS(Chamados!E2:E11,$A4,Chamados!H2:H11,C$3)</f>
        <v/>
      </c>
      <c r="D4">
        <f>COUNTIFS(Chamados!E2:E11,$A4,Chamados!H2:H11,D$3)</f>
        <v/>
      </c>
      <c r="E4">
        <f>COUNTIFS(Chamados!E2:E11,$A4,Chamados!H2:H11,E$3)</f>
        <v/>
      </c>
      <c r="F4">
        <f>COUNTIFS(Chamados!E2:E11,$A4,Chamados!H2:H11,F$3)</f>
        <v/>
      </c>
    </row>
    <row r="5">
      <c r="A5" t="inlineStr">
        <is>
          <t>atraso</t>
        </is>
      </c>
      <c r="B5">
        <f>COUNTIFS(Chamados!E2:E11,$A5,Chamados!H2:H11,B$3)</f>
        <v/>
      </c>
      <c r="C5">
        <f>COUNTIFS(Chamados!E2:E11,$A5,Chamados!H2:H11,C$3)</f>
        <v/>
      </c>
      <c r="D5">
        <f>COUNTIFS(Chamados!E2:E11,$A5,Chamados!H2:H11,D$3)</f>
        <v/>
      </c>
      <c r="E5">
        <f>COUNTIFS(Chamados!E2:E11,$A5,Chamados!H2:H11,E$3)</f>
        <v/>
      </c>
      <c r="F5">
        <f>COUNTIFS(Chamados!E2:E11,$A5,Chamados!H2:H11,F$3)</f>
        <v/>
      </c>
    </row>
    <row r="6">
      <c r="A6" t="inlineStr">
        <is>
          <t>defeito</t>
        </is>
      </c>
      <c r="B6">
        <f>COUNTIFS(Chamados!E2:E11,$A6,Chamados!H2:H11,B$3)</f>
        <v/>
      </c>
      <c r="C6">
        <f>COUNTIFS(Chamados!E2:E11,$A6,Chamados!H2:H11,C$3)</f>
        <v/>
      </c>
      <c r="D6">
        <f>COUNTIFS(Chamados!E2:E11,$A6,Chamados!H2:H11,D$3)</f>
        <v/>
      </c>
      <c r="E6">
        <f>COUNTIFS(Chamados!E2:E11,$A6,Chamados!H2:H11,E$3)</f>
        <v/>
      </c>
      <c r="F6">
        <f>COUNTIFS(Chamados!E2:E11,$A6,Chamados!H2:H11,F$3)</f>
        <v/>
      </c>
    </row>
    <row r="7">
      <c r="A7" t="inlineStr">
        <is>
          <t>duvida</t>
        </is>
      </c>
      <c r="B7">
        <f>COUNTIFS(Chamados!E2:E11,$A7,Chamados!H2:H11,B$3)</f>
        <v/>
      </c>
      <c r="C7">
        <f>COUNTIFS(Chamados!E2:E11,$A7,Chamados!H2:H11,C$3)</f>
        <v/>
      </c>
      <c r="D7">
        <f>COUNTIFS(Chamados!E2:E11,$A7,Chamados!H2:H11,D$3)</f>
        <v/>
      </c>
      <c r="E7">
        <f>COUNTIFS(Chamados!E2:E11,$A7,Chamados!H2:H11,E$3)</f>
        <v/>
      </c>
      <c r="F7">
        <f>COUNTIFS(Chamados!E2:E11,$A7,Chamados!H2:H11,F$3)</f>
        <v/>
      </c>
    </row>
    <row r="9">
      <c r="A9" s="3" t="inlineStr">
        <is>
          <t>total</t>
        </is>
      </c>
      <c r="B9" s="3">
        <f>SUM(B4:B8)</f>
        <v/>
      </c>
      <c r="C9" s="3">
        <f>SUM(C4:C8)</f>
        <v/>
      </c>
      <c r="D9" s="3">
        <f>SUM(D4:D8)</f>
        <v/>
      </c>
      <c r="E9" s="3">
        <f>SUM(E4:E8)</f>
        <v/>
      </c>
      <c r="F9" s="3">
        <f>SUM(F4:F8)</f>
        <v/>
      </c>
    </row>
    <row r="11">
      <c r="A11" s="7" t="inlineStr">
        <is>
          <t>Pivot nativa em 3 cliques: selecione A1:L11 em 'Chamados' → Inserir → Tabela Dinâmica (linhas: motivo; colunas: status; valores: contagem).</t>
        </is>
      </c>
    </row>
    <row r="13">
      <c r="A13" s="2" t="inlineStr">
        <is>
          <t>Leads por origem</t>
        </is>
      </c>
    </row>
    <row r="14">
      <c r="A14" s="3" t="inlineStr">
        <is>
          <t>origem</t>
        </is>
      </c>
      <c r="B14" s="3" t="inlineStr">
        <is>
          <t>leads</t>
        </is>
      </c>
    </row>
    <row r="15">
      <c r="A15" t="inlineStr">
        <is>
          <t>instagram</t>
        </is>
      </c>
      <c r="B15">
        <f>COUNTIF(Leads!C2:C17,A15)</f>
        <v/>
      </c>
    </row>
    <row r="16">
      <c r="A16" t="inlineStr">
        <is>
          <t>google</t>
        </is>
      </c>
      <c r="B16">
        <f>COUNTIF(Leads!C2:C17,A16)</f>
        <v/>
      </c>
    </row>
    <row r="17">
      <c r="A17" t="inlineStr">
        <is>
          <t>newsletter</t>
        </is>
      </c>
      <c r="B17">
        <f>COUNTIF(Leads!C2:C17,A17)</f>
        <v/>
      </c>
    </row>
    <row r="18">
      <c r="A18" t="inlineStr">
        <is>
          <t>indicacao</t>
        </is>
      </c>
      <c r="B18">
        <f>COUNTIF(Leads!C2:C17,A18)</f>
        <v/>
      </c>
    </row>
    <row r="19">
      <c r="A19" t="inlineStr">
        <is>
          <t>direto</t>
        </is>
      </c>
      <c r="B19">
        <f>COUNTIF(Leads!C2:C17,A19)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Gráficos (vinculados às matrizes da aba Tabela Dinamica)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2026-10-20T16:59:52Z</dcterms:created>
  <dcterms:modified xsi:type="dcterms:W3CDTF">2026-10-20T16:59:52Z</dcterms:modified>
</cp:coreProperties>
</file>