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Cot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2620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C53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9" fontId="0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E8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60" customWidth="1" min="3" max="3"/>
  </cols>
  <sheetData>
    <row r="1">
      <c r="A1" s="1" t="inlineStr">
        <is>
          <t>Cotação comparativa — plataforma de automação (objetivo do projeto)</t>
        </is>
      </c>
    </row>
    <row r="3">
      <c r="A3" s="2" t="inlineStr">
        <is>
          <t>criterio</t>
        </is>
      </c>
      <c r="B3" s="2" t="inlineStr">
        <is>
          <t>peso</t>
        </is>
      </c>
      <c r="C3" s="2" t="inlineStr">
        <is>
          <t>justificativa</t>
        </is>
      </c>
    </row>
    <row r="4">
      <c r="A4" t="inlineStr">
        <is>
          <t>Custo total (12 meses)</t>
        </is>
      </c>
      <c r="B4" s="3" t="n">
        <v>0.3</v>
      </c>
      <c r="C4" t="inlineStr">
        <is>
          <t>Orçamento do MVP é o principal limite.</t>
        </is>
      </c>
    </row>
    <row r="5">
      <c r="A5" t="inlineStr">
        <is>
          <t>Facilidade de aprendizado</t>
        </is>
      </c>
      <c r="B5" s="3" t="n">
        <v>0.2</v>
      </c>
      <c r="C5" t="inlineStr">
        <is>
          <t>Time pequeno, sem dedicação exclusiva à ferramenta.</t>
        </is>
      </c>
    </row>
    <row r="6">
      <c r="A6" t="inlineStr">
        <is>
          <t>Integrações nativas/APIs</t>
        </is>
      </c>
      <c r="B6" s="3" t="n">
        <v>0.25</v>
      </c>
      <c r="C6" t="inlineStr">
        <is>
          <t>Google Workspace, WhatsApp Cloud API e REST genérico.</t>
        </is>
      </c>
    </row>
    <row r="7">
      <c r="A7" t="inlineStr">
        <is>
          <t>Versionamento/exportação</t>
        </is>
      </c>
      <c r="B7" s="3" t="n">
        <v>0.15</v>
      </c>
      <c r="C7" t="inlineStr">
        <is>
          <t>Fluxos precisam morar no Git (auditoria do projeto).</t>
        </is>
      </c>
    </row>
    <row r="8">
      <c r="A8" t="inlineStr">
        <is>
          <t>Suporte e comunidade</t>
        </is>
      </c>
      <c r="B8" s="3" t="n">
        <v>0.1</v>
      </c>
      <c r="C8" t="inlineStr">
        <is>
          <t>Resolução de dúvidas em português/inglês.</t>
        </is>
      </c>
    </row>
    <row r="9">
      <c r="A9" s="4" t="inlineStr">
        <is>
          <t>SOMA dos pesos (deve dar 100%)</t>
        </is>
      </c>
      <c r="B9" s="3">
        <f>SUM(B4:B8)</f>
        <v/>
      </c>
    </row>
  </sheetData>
  <dataValidations count="1">
    <dataValidation sqref="B4:B8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Notas 1 (péssimo) a 5 (excelente) — preencha e a ponderação recalcula</t>
        </is>
      </c>
    </row>
    <row r="3">
      <c r="A3" s="2" t="inlineStr">
        <is>
          <t>criterio</t>
        </is>
      </c>
      <c r="B3" s="2" t="inlineStr">
        <is>
          <t>peso</t>
        </is>
      </c>
      <c r="C3" s="2" t="inlineStr">
        <is>
          <t>n8n Cloud</t>
        </is>
      </c>
      <c r="D3" s="2" t="inlineStr">
        <is>
          <t>Make</t>
        </is>
      </c>
      <c r="E3" s="2" t="inlineStr">
        <is>
          <t>Power Automate</t>
        </is>
      </c>
      <c r="F3" s="2" t="inlineStr">
        <is>
          <t>peso × nota máxima</t>
        </is>
      </c>
    </row>
    <row r="4">
      <c r="A4" t="inlineStr">
        <is>
          <t>Custo total (12 meses)</t>
        </is>
      </c>
      <c r="B4" s="3">
        <f>Criterios!B4</f>
        <v/>
      </c>
      <c r="C4" t="n">
        <v>4</v>
      </c>
      <c r="D4" t="n">
        <v>3</v>
      </c>
      <c r="E4" t="n">
        <v>3</v>
      </c>
    </row>
    <row r="5">
      <c r="A5" t="inlineStr">
        <is>
          <t>Facilidade de aprendizado</t>
        </is>
      </c>
      <c r="B5" s="3">
        <f>Criterios!B5</f>
        <v/>
      </c>
      <c r="C5" t="n">
        <v>4</v>
      </c>
      <c r="D5" t="n">
        <v>3</v>
      </c>
      <c r="E5" t="n">
        <v>3</v>
      </c>
    </row>
    <row r="6">
      <c r="A6" t="inlineStr">
        <is>
          <t>Integrações nativas/APIs</t>
        </is>
      </c>
      <c r="B6" s="3">
        <f>Criterios!B6</f>
        <v/>
      </c>
      <c r="C6" t="n">
        <v>4</v>
      </c>
      <c r="D6" t="n">
        <v>3</v>
      </c>
      <c r="E6" t="n">
        <v>3</v>
      </c>
    </row>
    <row r="7">
      <c r="A7" t="inlineStr">
        <is>
          <t>Versionamento/exportação</t>
        </is>
      </c>
      <c r="B7" s="3">
        <f>Criterios!B7</f>
        <v/>
      </c>
      <c r="C7" t="n">
        <v>4</v>
      </c>
      <c r="D7" t="n">
        <v>3</v>
      </c>
      <c r="E7" t="n">
        <v>3</v>
      </c>
    </row>
    <row r="8">
      <c r="A8" t="inlineStr">
        <is>
          <t>Suporte e comunidade</t>
        </is>
      </c>
      <c r="B8" s="3">
        <f>Criterios!B8</f>
        <v/>
      </c>
      <c r="C8" t="n">
        <v>4</v>
      </c>
      <c r="D8" t="n">
        <v>3</v>
      </c>
      <c r="E8" t="n">
        <v>3</v>
      </c>
    </row>
    <row r="9">
      <c r="A9" s="4" t="inlineStr">
        <is>
          <t>Pontuação ponderada (SOMARPRODUTO)</t>
        </is>
      </c>
      <c r="C9" s="5">
        <f>SUMPRODUCT($B$4:$B$8,C4:C8)</f>
        <v/>
      </c>
      <c r="D9" s="5">
        <f>SUMPRODUCT($B$4:$B$8,D4:D8)</f>
        <v/>
      </c>
      <c r="E9" s="5">
        <f>SUMPRODUCT($B$4:$B$8,E4:E8)</f>
        <v/>
      </c>
    </row>
    <row r="10">
      <c r="A10" s="4" t="inlineStr">
        <is>
          <t>Ranking</t>
        </is>
      </c>
      <c r="C10">
        <f>RANK(C9,$C$9:$E$9)</f>
        <v/>
      </c>
      <c r="D10">
        <f>RANK(D9,$C$9:$E$9)</f>
        <v/>
      </c>
      <c r="E10">
        <f>RANK(E9,$C$9:$E$9)</f>
        <v/>
      </c>
    </row>
    <row r="12">
      <c r="A12" s="4" t="inlineStr">
        <is>
          <t>Vencedor (PROCX pela maior pontuação)</t>
        </is>
      </c>
      <c r="C12">
        <f>XLOOKUP(MAX(C9:E9),C9:E9,C3:E3)</f>
        <v/>
      </c>
    </row>
  </sheetData>
  <conditionalFormatting sqref="C9:E9">
    <cfRule type="cellIs" priority="1" operator="equal" dxfId="0">
      <formula>MAX($C$9:$E$9)</formula>
    </cfRule>
  </conditionalFormatting>
  <dataValidations count="1">
    <dataValidation sqref="C4:E8" showDropDown="0" showInputMessage="0" showErrorMessage="0" allowBlank="0" error="Notas de 1 a 5.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2026-10-20T16:59:53Z</dcterms:created>
  <dcterms:modified xsi:type="dcterms:W3CDTF">2026-10-20T16:59:53Z</dcterms:modified>
</cp:coreProperties>
</file>