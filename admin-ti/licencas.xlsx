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2B2620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C53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ont>
        <b val="1"/>
        <color rgb="00A3271F"/>
      </font>
      <fill>
        <patternFill patternType="solid">
          <fgColor rgb="00FDECEB"/>
        </patternFill>
      </fill>
    </dxf>
    <dxf>
      <fill>
        <patternFill patternType="solid">
          <fgColor rgb="00FFF3D6"/>
        </patternFill>
      </fill>
    </dxf>
    <dxf>
      <fill>
        <patternFill patternType="solid">
          <fgColor rgb="00E8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6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  <col width="13" customWidth="1" min="10" max="10"/>
    <col width="13" customWidth="1" min="11" max="11"/>
    <col width="10" customWidth="1" min="12" max="12"/>
    <col width="13" customWidth="1" min="13" max="13"/>
    <col width="40" customWidth="1" min="14" max="14"/>
  </cols>
  <sheetData>
    <row r="1">
      <c r="A1" s="1" t="inlineStr">
        <is>
          <t>Controle de licenças — AureaOps (valores fictícios, revisar TODO(manual))</t>
        </is>
      </c>
    </row>
    <row r="3">
      <c r="A3" s="2" t="inlineStr">
        <is>
          <t>ferramenta</t>
        </is>
      </c>
      <c r="B3" s="2" t="inlineStr">
        <is>
          <t>categoria</t>
        </is>
      </c>
      <c r="C3" s="2" t="inlineStr">
        <is>
          <t>fornecedor</t>
        </is>
      </c>
      <c r="D3" s="2" t="inlineStr">
        <is>
          <t>tipo_cobranca</t>
        </is>
      </c>
      <c r="E3" s="2" t="inlineStr">
        <is>
          <t>qtd_licencas</t>
        </is>
      </c>
      <c r="F3" s="2" t="inlineStr">
        <is>
          <t>custo_unitario_mes_brl</t>
        </is>
      </c>
      <c r="G3" s="2" t="inlineStr">
        <is>
          <t>custo_total_mes_brl</t>
        </is>
      </c>
      <c r="H3" s="2" t="inlineStr">
        <is>
          <t>responsavel</t>
        </is>
      </c>
      <c r="I3" s="2" t="inlineStr">
        <is>
          <t>centro_custo</t>
        </is>
      </c>
      <c r="J3" s="2" t="inlineStr">
        <is>
          <t>data_aquisicao</t>
        </is>
      </c>
      <c r="K3" s="2" t="inlineStr">
        <is>
          <t>data_renovacao</t>
        </is>
      </c>
      <c r="L3" s="2" t="inlineStr">
        <is>
          <t>dias_para_renovar</t>
        </is>
      </c>
      <c r="M3" s="2" t="inlineStr">
        <is>
          <t>status</t>
        </is>
      </c>
      <c r="N3" s="2" t="inlineStr">
        <is>
          <t>observacoes</t>
        </is>
      </c>
    </row>
    <row r="4">
      <c r="A4" t="inlineStr">
        <is>
          <t>Google Workspace</t>
        </is>
      </c>
      <c r="B4" t="inlineStr">
        <is>
          <t>Produtividade</t>
        </is>
      </c>
      <c r="C4" t="inlineStr">
        <is>
          <t>Google</t>
        </is>
      </c>
      <c r="D4" t="inlineStr">
        <is>
          <t>por usuário/mês</t>
        </is>
      </c>
      <c r="E4" t="n">
        <v>6</v>
      </c>
      <c r="F4" s="3" t="n">
        <v>42</v>
      </c>
      <c r="G4" s="3">
        <f>E4*F4</f>
        <v/>
      </c>
      <c r="H4" t="inlineStr">
        <is>
          <t>Fabiana TI</t>
        </is>
      </c>
      <c r="I4" t="inlineStr">
        <is>
          <t>ADM</t>
        </is>
      </c>
      <c r="J4" s="4" t="n">
        <v>46032</v>
      </c>
      <c r="K4" s="4" t="n">
        <v>46397</v>
      </c>
      <c r="L4">
        <f>K4-TODAY()</f>
        <v/>
      </c>
      <c r="M4" t="inlineStr">
        <is>
          <t>ativa</t>
        </is>
      </c>
      <c r="N4" t="inlineStr">
        <is>
          <t>E-mail/Drive/Sheets do time</t>
        </is>
      </c>
    </row>
    <row r="5">
      <c r="A5" t="inlineStr">
        <is>
          <t>n8n Cloud (starter)</t>
        </is>
      </c>
      <c r="B5" t="inlineStr">
        <is>
          <t>Automação</t>
        </is>
      </c>
      <c r="C5" t="inlineStr">
        <is>
          <t>n8n</t>
        </is>
      </c>
      <c r="D5" t="inlineStr">
        <is>
          <t>plano/mês</t>
        </is>
      </c>
      <c r="E5" t="n">
        <v>1</v>
      </c>
      <c r="F5" s="3" t="n">
        <v>89</v>
      </c>
      <c r="G5" s="3">
        <f>E5*F5</f>
        <v/>
      </c>
      <c r="H5" t="inlineStr">
        <is>
          <t>Fabiana TI</t>
        </is>
      </c>
      <c r="I5" t="inlineStr">
        <is>
          <t>TEC</t>
        </is>
      </c>
      <c r="J5" s="4" t="n">
        <v>46235</v>
      </c>
      <c r="K5" s="4" t="n">
        <v>46327</v>
      </c>
      <c r="L5">
        <f>K5-TODAY()</f>
        <v/>
      </c>
      <c r="M5" t="inlineStr">
        <is>
          <t>ativa</t>
        </is>
      </c>
      <c r="N5" t="inlineStr">
        <is>
          <t>Homologação (produção roda local via npm)</t>
        </is>
      </c>
    </row>
    <row r="6">
      <c r="A6" t="inlineStr">
        <is>
          <t>Base44 (plano free)</t>
        </is>
      </c>
      <c r="B6" t="inlineStr">
        <is>
          <t>Low-code</t>
        </is>
      </c>
      <c r="C6" t="inlineStr">
        <is>
          <t>Base44</t>
        </is>
      </c>
      <c r="D6" t="inlineStr">
        <is>
          <t>grátis</t>
        </is>
      </c>
      <c r="E6" t="n">
        <v>1</v>
      </c>
      <c r="F6" s="3" t="n">
        <v>0</v>
      </c>
      <c r="G6" s="3">
        <f>E6*F6</f>
        <v/>
      </c>
      <c r="H6" t="inlineStr">
        <is>
          <t>Fabiana TI</t>
        </is>
      </c>
      <c r="I6" t="inlineStr">
        <is>
          <t>TEC</t>
        </is>
      </c>
      <c r="J6" s="4" t="n">
        <v>46280</v>
      </c>
      <c r="K6" s="4" t="n">
        <v>46645</v>
      </c>
      <c r="L6">
        <f>K6-TODAY()</f>
        <v/>
      </c>
      <c r="M6" t="inlineStr">
        <is>
          <t>ativa</t>
        </is>
      </c>
      <c r="N6" t="inlineStr">
        <is>
          <t>App interno AureaOps</t>
        </is>
      </c>
    </row>
    <row r="7">
      <c r="A7" t="inlineStr">
        <is>
          <t>Postman (free)</t>
        </is>
      </c>
      <c r="B7" t="inlineStr">
        <is>
          <t>APIs</t>
        </is>
      </c>
      <c r="C7" t="inlineStr">
        <is>
          <t>Postman</t>
        </is>
      </c>
      <c r="D7" t="inlineStr">
        <is>
          <t>grátis</t>
        </is>
      </c>
      <c r="E7" t="n">
        <v>1</v>
      </c>
      <c r="F7" s="3" t="n">
        <v>0</v>
      </c>
      <c r="G7" s="3">
        <f>E7*F7</f>
        <v/>
      </c>
      <c r="H7" t="inlineStr">
        <is>
          <t>Fabiana TI</t>
        </is>
      </c>
      <c r="I7" t="inlineStr">
        <is>
          <t>TEC</t>
        </is>
      </c>
      <c r="J7" s="4" t="n">
        <v>46285</v>
      </c>
      <c r="K7" s="4" t="n">
        <v>46650</v>
      </c>
      <c r="L7">
        <f>K7-TODAY()</f>
        <v/>
      </c>
      <c r="M7" t="inlineStr">
        <is>
          <t>ativa</t>
        </is>
      </c>
      <c r="N7" t="inlineStr">
        <is>
          <t>Testes de contrato</t>
        </is>
      </c>
    </row>
    <row r="8">
      <c r="A8" t="inlineStr">
        <is>
          <t>WhatsApp Cloud API</t>
        </is>
      </c>
      <c r="B8" t="inlineStr">
        <is>
          <t>Mensageria</t>
        </is>
      </c>
      <c r="C8" t="inlineStr">
        <is>
          <t>Meta</t>
        </is>
      </c>
      <c r="D8" t="inlineStr">
        <is>
          <t>por conversa</t>
        </is>
      </c>
      <c r="E8" t="n">
        <v>1</v>
      </c>
      <c r="F8" s="3" t="n">
        <v>0</v>
      </c>
      <c r="G8" s="3">
        <f>E8*F8</f>
        <v/>
      </c>
      <c r="H8" t="inlineStr">
        <is>
          <t>Renato Gestor</t>
        </is>
      </c>
      <c r="I8" t="inlineStr">
        <is>
          <t>COM</t>
        </is>
      </c>
      <c r="J8" s="4" t="n">
        <v>46300</v>
      </c>
      <c r="K8" s="4" t="n">
        <v>46331</v>
      </c>
      <c r="L8">
        <f>K8-TODAY()</f>
        <v/>
      </c>
      <c r="M8" t="inlineStr">
        <is>
          <t>em_avaliacao</t>
        </is>
      </c>
      <c r="N8" t="inlineStr">
        <is>
          <t>MODO=simulado até aprovar templates</t>
        </is>
      </c>
    </row>
    <row r="9">
      <c r="A9" t="inlineStr">
        <is>
          <t>Microsoft 365 Pessoal</t>
        </is>
      </c>
      <c r="B9" t="inlineStr">
        <is>
          <t>BI/Excel</t>
        </is>
      </c>
      <c r="C9" t="inlineStr">
        <is>
          <t>Microsoft</t>
        </is>
      </c>
      <c r="D9" t="inlineStr">
        <is>
          <t>por usuário/mês</t>
        </is>
      </c>
      <c r="E9" t="n">
        <v>2</v>
      </c>
      <c r="F9" s="3" t="n">
        <v>35</v>
      </c>
      <c r="G9" s="3">
        <f>E9*F9</f>
        <v/>
      </c>
      <c r="H9" t="inlineStr">
        <is>
          <t>Fabiana TI</t>
        </is>
      </c>
      <c r="I9" t="inlineStr">
        <is>
          <t>ADM</t>
        </is>
      </c>
      <c r="J9" s="4" t="n">
        <v>46073</v>
      </c>
      <c r="K9" s="4" t="n">
        <v>46346</v>
      </c>
      <c r="L9">
        <f>K9-TODAY()</f>
        <v/>
      </c>
      <c r="M9" t="inlineStr">
        <is>
          <t>ativa</t>
        </is>
      </c>
      <c r="N9" t="inlineStr">
        <is>
          <t>Power Query/tabela dinâmica</t>
        </is>
      </c>
    </row>
    <row r="10">
      <c r="A10" t="inlineStr">
        <is>
          <t>Ferramenta legada XPTO</t>
        </is>
      </c>
      <c r="B10" t="inlineStr">
        <is>
          <t>Automação</t>
        </is>
      </c>
      <c r="C10" t="inlineStr">
        <is>
          <t>XPTO</t>
        </is>
      </c>
      <c r="D10" t="inlineStr">
        <is>
          <t>anual</t>
        </is>
      </c>
      <c r="E10" t="n">
        <v>1</v>
      </c>
      <c r="F10" s="3" t="n">
        <v>2500</v>
      </c>
      <c r="G10" s="3">
        <f>E10*F10</f>
        <v/>
      </c>
      <c r="H10" t="inlineStr">
        <is>
          <t>Fabiana TI</t>
        </is>
      </c>
      <c r="I10" t="inlineStr">
        <is>
          <t>TEC</t>
        </is>
      </c>
      <c r="J10" s="4" t="n">
        <v>45352</v>
      </c>
      <c r="K10" s="4" t="n">
        <v>46320</v>
      </c>
      <c r="L10">
        <f>K10-TODAY()</f>
        <v/>
      </c>
      <c r="M10" t="inlineStr">
        <is>
          <t>vencida</t>
        </is>
      </c>
      <c r="N10" t="inlineStr">
        <is>
          <t>Candidata a cancelamento (substituída pelo n8n)</t>
        </is>
      </c>
    </row>
    <row r="11">
      <c r="F11" s="5" t="inlineStr">
        <is>
          <t>Custo total/mês →</t>
        </is>
      </c>
      <c r="G11" s="3">
        <f>SUM(G4:G10)</f>
        <v/>
      </c>
    </row>
  </sheetData>
  <conditionalFormatting sqref="L4:L10">
    <cfRule type="cellIs" priority="1" operator="lessThan" dxfId="0">
      <formula>0</formula>
    </cfRule>
    <cfRule type="cellIs" priority="2" operator="lessThanOrEqual" dxfId="1">
      <formula>30</formula>
    </cfRule>
    <cfRule type="cellIs" priority="3" operator="greaterThan" dxfId="2">
      <formula>30</formula>
    </cfRule>
  </conditionalFormatting>
  <dataValidations count="1">
    <dataValidation sqref="M4:M20" showDropDown="0" showInputMessage="0" showErrorMessage="0" allowBlank="0" error="Status inválido." type="list">
      <formula1>"ativa,cancelada,em_avaliacao,vencida"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2026-10-20T16:59:53Z</dcterms:created>
  <dcterms:modified xsi:type="dcterms:W3CDTF">2026-10-20T16:59:53Z</dcterms:modified>
</cp:coreProperties>
</file>